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  <sheet name="汇总" sheetId="2" state="visible" r:id="rId2"/>
    <sheet name="参数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¥#,##0.00;[Red](¥#,##0.00)"/>
    <numFmt numFmtId="166" formatCode="yyyy-mm-dd"/>
    <numFmt numFmtId="167" formatCode="¥#,##0.00"/>
    <numFmt numFmtId="168" formatCode="0.0%"/>
  </numFmts>
  <fonts count="7">
    <font>
      <name val="Calibri"/>
      <family val="2"/>
      <color theme="1"/>
      <sz val="11"/>
      <scheme val="minor"/>
    </font>
    <font>
      <name val="Arial"/>
      <color rgb="00172B4D"/>
      <sz val="11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16665C"/>
      </patternFill>
    </fill>
    <fill>
      <patternFill patternType="solid">
        <fgColor rgb="00234D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8E6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D7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合成商品采购金额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'销售明细'!E3</f>
            </strRef>
          </tx>
          <spPr>
            <a:ln>
              <a:prstDash val="solid"/>
            </a:ln>
          </spPr>
          <cat>
            <numRef>
              <f>'销售明细'!$B$4:$B$9</f>
            </numRef>
          </cat>
          <val>
            <numRef>
              <f>'销售明细'!$E$4:$E$9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Fixture</author>
  </authors>
  <commentList>
    <comment ref="B4" authorId="0" shapeId="0">
      <text>
        <t>合成商品名称。可将本格改为“晨光钢笔（已修改）”测试文本写回。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</row>
      <rowOff>0</rowOff>
    </from>
    <ext cx="1905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SyntheticSales" displayName="SyntheticSales" ref="A3:H9" headerRowCount="1">
  <autoFilter ref="A3:H9"/>
  <tableColumns count="8">
    <tableColumn id="1" name="编号"/>
    <tableColumn id="2" name="商品"/>
    <tableColumn id="3" name="数量"/>
    <tableColumn id="4" name="单价（元）"/>
    <tableColumn id="5" name="金额（元）"/>
    <tableColumn id="6" name="日期"/>
    <tableColumn id="7" name="状态"/>
    <tableColumn id="8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ynthetic-order/001" TargetMode="External" Id="rId1" /><Relationship Type="http://schemas.openxmlformats.org/officeDocument/2006/relationships/drawing" Target="/xl/drawings/drawing1.xml" Id="rId2" /><Relationship Type="http://schemas.openxmlformats.org/officeDocument/2006/relationships/table" Target="/xl/tables/table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42" customWidth="1" min="8" max="8"/>
  </cols>
  <sheetData>
    <row r="1" ht="32" customHeight="1">
      <c r="A1" s="1" t="inlineStr">
        <is>
          <t>秋季文具采购 · 合成测试工作簿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所有名称、数量、单价及日期均为插件验收合成数据，不代表真实业务。 蓝色文字为输入；金额和汇总为公式。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编号</t>
        </is>
      </c>
      <c r="B3" s="4" t="inlineStr">
        <is>
          <t>商品</t>
        </is>
      </c>
      <c r="C3" s="4" t="inlineStr">
        <is>
          <t>数量</t>
        </is>
      </c>
      <c r="D3" s="4" t="inlineStr">
        <is>
          <t>单价（元）</t>
        </is>
      </c>
      <c r="E3" s="4" t="inlineStr">
        <is>
          <t>金额（元）</t>
        </is>
      </c>
      <c r="F3" s="4" t="inlineStr">
        <is>
          <t>日期</t>
        </is>
      </c>
      <c r="G3" s="4" t="inlineStr">
        <is>
          <t>状态</t>
        </is>
      </c>
      <c r="H3" s="4" t="inlineStr">
        <is>
          <t>备注</t>
        </is>
      </c>
    </row>
    <row r="4">
      <c r="A4" s="5" t="inlineStr">
        <is>
          <t>SYN-001</t>
        </is>
      </c>
      <c r="B4" s="5" t="inlineStr">
        <is>
          <t>晨光钢笔</t>
        </is>
      </c>
      <c r="C4" s="6" t="n">
        <v>2</v>
      </c>
      <c r="D4" s="7" t="n">
        <v>129</v>
      </c>
      <c r="E4" s="8">
        <f>C4*D4</f>
        <v>258</v>
      </c>
      <c r="F4" s="9" t="n">
        <v>46309</v>
      </c>
      <c r="G4" s="5" t="inlineStr">
        <is>
          <t>已确认</t>
        </is>
      </c>
      <c r="H4" s="5" t="inlineStr">
        <is>
          <t>文字与数字编辑</t>
        </is>
      </c>
    </row>
    <row r="5">
      <c r="A5" s="5" t="inlineStr">
        <is>
          <t>SYN-002</t>
        </is>
      </c>
      <c r="B5" s="5" t="inlineStr">
        <is>
          <t>方格笔记本</t>
        </is>
      </c>
      <c r="C5" s="6" t="n">
        <v>5</v>
      </c>
      <c r="D5" s="7" t="n">
        <v>49.5</v>
      </c>
      <c r="E5" s="8">
        <f>C5*D5</f>
        <v>247.5</v>
      </c>
      <c r="F5" s="9" t="n">
        <v>46310</v>
      </c>
      <c r="G5" s="5" t="inlineStr">
        <is>
          <t>待发货</t>
        </is>
      </c>
      <c r="H5" s="5" t="inlineStr">
        <is>
          <t>Unicode：中文 / café / 😀</t>
        </is>
      </c>
    </row>
    <row r="6">
      <c r="A6" s="5" t="inlineStr">
        <is>
          <t>SYN-003</t>
        </is>
      </c>
      <c r="B6" s="5" t="inlineStr">
        <is>
          <t>桌面收纳盒</t>
        </is>
      </c>
      <c r="C6" s="6" t="n">
        <v>3</v>
      </c>
      <c r="D6" s="7" t="n">
        <v>75</v>
      </c>
      <c r="E6" s="8">
        <f>C6*D6</f>
        <v>225</v>
      </c>
      <c r="F6" s="9" t="n">
        <v>46311</v>
      </c>
      <c r="G6" s="5" t="inlineStr">
        <is>
          <t>已确认</t>
        </is>
      </c>
      <c r="H6" s="5" t="inlineStr">
        <is>
          <t>含跨表汇总</t>
        </is>
      </c>
    </row>
    <row r="7">
      <c r="A7" s="5" t="inlineStr">
        <is>
          <t>SYN-004</t>
        </is>
      </c>
      <c r="B7" s="5" t="inlineStr">
        <is>
          <t>便签纸</t>
        </is>
      </c>
      <c r="C7" s="6" t="n">
        <v>4</v>
      </c>
      <c r="D7" s="7" t="n">
        <v>28</v>
      </c>
      <c r="E7" s="8">
        <f>C7*D7</f>
        <v>112</v>
      </c>
      <c r="F7" s="9" t="n">
        <v>46312</v>
      </c>
      <c r="G7" s="5" t="inlineStr">
        <is>
          <t>待发货</t>
        </is>
      </c>
      <c r="H7" s="5" t="inlineStr">
        <is>
          <t>合成测试数据</t>
        </is>
      </c>
    </row>
    <row r="8">
      <c r="A8" s="5" t="inlineStr">
        <is>
          <t>SYN-005</t>
        </is>
      </c>
      <c r="B8" s="5" t="inlineStr">
        <is>
          <t>阅读台灯</t>
        </is>
      </c>
      <c r="C8" s="6" t="n">
        <v>1</v>
      </c>
      <c r="D8" s="7" t="n">
        <v>299</v>
      </c>
      <c r="E8" s="8">
        <f>C8*D8</f>
        <v>299</v>
      </c>
      <c r="F8" s="9" t="n">
        <v>46313</v>
      </c>
      <c r="G8" s="5" t="inlineStr">
        <is>
          <t>已确认</t>
        </is>
      </c>
      <c r="H8" s="5" t="inlineStr">
        <is>
          <t>合成测试数据</t>
        </is>
      </c>
    </row>
    <row r="9">
      <c r="A9" s="5" t="inlineStr">
        <is>
          <t>SYN-006</t>
        </is>
      </c>
      <c r="B9" s="5" t="inlineStr">
        <is>
          <t>彩色胶带</t>
        </is>
      </c>
      <c r="C9" s="6" t="n">
        <v>6</v>
      </c>
      <c r="D9" s="7" t="n">
        <v>19.9</v>
      </c>
      <c r="E9" s="8">
        <f>C9*D9</f>
        <v>119.4</v>
      </c>
      <c r="F9" s="9" t="n">
        <v>46314</v>
      </c>
      <c r="G9" s="5" t="inlineStr">
        <is>
          <t>已确认</t>
        </is>
      </c>
      <c r="H9" s="5" t="inlineStr">
        <is>
          <t>合成测试数据</t>
        </is>
      </c>
    </row>
    <row r="10">
      <c r="A10" s="2" t="n"/>
      <c r="B10" s="2" t="inlineStr">
        <is>
          <t>合计</t>
        </is>
      </c>
      <c r="C10" s="2">
        <f>SUM(C4:C9)</f>
        <v>21</v>
      </c>
      <c r="D10" s="2" t="n"/>
      <c r="E10" s="10">
        <f>SUM(E4:E9)</f>
        <v>1260.9</v>
      </c>
      <c r="F10" s="2" t="n"/>
      <c r="G10" s="2" t="n"/>
      <c r="H10" s="2" t="n"/>
    </row>
  </sheetData>
  <mergeCells count="2">
    <mergeCell ref="A2:H2"/>
    <mergeCell ref="A1:H1"/>
  </mergeCells>
  <conditionalFormatting sqref="E4:E9">
    <cfRule type="cellIs" priority="1" operator="greaterThan" dxfId="0">
      <formula>200</formula>
    </cfRule>
  </conditionalFormatting>
  <dataValidations count="2">
    <dataValidation sqref="C4:C9" showDropDown="0" showInputMessage="0" showErrorMessage="1" allowBlank="0" errorTitle="数量无效" error="请输入 0 到 10000 的整数。" type="whole" operator="between">
      <formula1>0</formula1>
      <formula2>10000</formula2>
    </dataValidation>
    <dataValidation sqref="G4:G9" showDropDown="0" showInputMessage="0" showErrorMessage="0" allowBlank="0" type="list">
      <formula1>"已确认,待发货"</formula1>
    </dataValidation>
  </dataValidations>
  <hyperlinks>
    <hyperlink xmlns:r="http://schemas.openxmlformats.org/officeDocument/2006/relationships" ref="H4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采购汇总</t>
        </is>
      </c>
      <c r="B1" s="2" t="inlineStr">
        <is>
          <t>金额 / 数量</t>
        </is>
      </c>
    </row>
    <row r="2">
      <c r="A2" s="2" t="inlineStr">
        <is>
          <t>说明</t>
        </is>
      </c>
      <c r="B2" s="2" t="inlineStr">
        <is>
          <t>所有名称、数量、单价及日期均为插件验收合成数据，不代表真实业务。</t>
        </is>
      </c>
    </row>
    <row r="3">
      <c r="A3" s="2" t="inlineStr">
        <is>
          <t>公式说明</t>
        </is>
      </c>
      <c r="B3" s="2" t="inlineStr">
        <is>
          <t>按明细合计与参数页折扣率计算</t>
        </is>
      </c>
    </row>
    <row r="4">
      <c r="A4" s="2" t="inlineStr">
        <is>
          <t>原始总额</t>
        </is>
      </c>
      <c r="B4" s="11">
        <f>'销售明细'!E10</f>
        <v>1260.9</v>
      </c>
    </row>
    <row r="5">
      <c r="A5" s="2" t="inlineStr">
        <is>
          <t>折扣额</t>
        </is>
      </c>
      <c r="B5" s="11">
        <f>B4*'参数'!B2</f>
        <v>126.09</v>
      </c>
    </row>
    <row r="6">
      <c r="A6" s="2" t="inlineStr">
        <is>
          <t>折后总额</t>
        </is>
      </c>
      <c r="B6" s="11">
        <f>B4-B5</f>
        <v>1134.81</v>
      </c>
    </row>
    <row r="7">
      <c r="A7" s="2" t="inlineStr">
        <is>
          <t>总数量</t>
        </is>
      </c>
      <c r="B7" s="2">
        <f>'销售明细'!C10</f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参数</t>
        </is>
      </c>
      <c r="B1" s="2" t="inlineStr">
        <is>
          <t>值</t>
        </is>
      </c>
      <c r="C1" s="2" t="inlineStr">
        <is>
          <t>来源</t>
        </is>
      </c>
    </row>
    <row r="2">
      <c r="A2" s="2" t="inlineStr">
        <is>
          <t>合成折扣率</t>
        </is>
      </c>
      <c r="B2" s="12" t="n">
        <v>0.1</v>
      </c>
      <c r="C2" s="2" t="inlineStr">
        <is>
          <t>所有名称、数量、单价及日期均为插件验收合成数据，不代表真实业务。</t>
        </is>
      </c>
    </row>
  </sheetData>
  <pageMargins left="0.75" right="0.75" top="1" bottom="1" header="0.5" footer="0.5"/>
</worksheet>
</file>

<file path=customXml/fixture-preservation.xml><?xml version="1.0" encoding="utf-8"?>
<fixture xmlns="urn:lexora:xlsx:test">保留未知部件：合成测试数据</fixtur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2026-10-23T09:53:48Z</dcterms:created>
  <dcterms:modified xsi:type="dcterms:W3CDTF">2026-10-23T09:53:48Z</dcterms:modified>
</cp:coreProperties>
</file>