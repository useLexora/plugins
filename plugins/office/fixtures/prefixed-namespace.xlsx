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销售明细" sheetId="1" state="visible" r:id="rId1"/>
    <x:sheet name="汇总" sheetId="2" state="visible" r:id="rId2"/>
    <x:sheet name="参数" sheetId="3" state="hidden" r:id="rId3"/>
  </x:sheets>
  <x:definedNames/>
  <x:calcPr calcId="124519" fullCalcOnLoad="1"/>
</x:workbook>
</file>

<file path=xl/styles.xml><?xml version="1.0" encoding="utf-8"?>
<x:styleSheet xmlns:x="http://schemas.openxmlformats.org/spreadsheetml/2006/main">
  <x:numFmts count="5">
    <x:numFmt numFmtId="164" formatCode="yyyy-mm-dd h:mm:ss"/>
    <x:numFmt numFmtId="165" formatCode="¥#,##0.00;[Red](¥#,##0.00)"/>
    <x:numFmt numFmtId="166" formatCode="yyyy-mm-dd"/>
    <x:numFmt numFmtId="167" formatCode="¥#,##0.00"/>
    <x:numFmt numFmtId="168" formatCode="0.0%"/>
  </x:numFmts>
  <x:fonts count="7">
    <x:font>
      <x:name val="Calibri"/>
      <x:family val="2"/>
      <x:color theme="1"/>
      <x:sz val="11"/>
      <x:scheme val="minor"/>
    </x:font>
    <x:font>
      <x:name val="Arial"/>
      <x:color rgb="00172B4D"/>
      <x:sz val="11"/>
    </x:font>
    <x:font>
      <x:name val="Arial"/>
      <x:b val="1"/>
      <x:color rgb="00FFFFFF"/>
      <x:sz val="20"/>
    </x:font>
    <x:font>
      <x:name val="Arial"/>
      <x:b val="1"/>
      <x:color rgb="00FFFFFF"/>
      <x:sz val="11"/>
    </x:font>
    <x:font>
      <x:name val="Arial"/>
      <x:color rgb="000000FF"/>
      <x:sz val="11"/>
    </x:font>
    <x:font>
      <x:name val="Arial"/>
      <x:color rgb="00000000"/>
      <x:sz val="11"/>
    </x:font>
    <x:font>
      <x:name val="Arial"/>
      <x:color rgb="00008000"/>
      <x:sz val="11"/>
    </x:font>
  </x:fonts>
  <x:fills count="5">
    <x:fill>
      <x:patternFill/>
    </x:fill>
    <x:fill>
      <x:patternFill patternType="gray125"/>
    </x:fill>
    <x:fill>
      <x:patternFill patternType="solid">
        <x:fgColor rgb="0016665C"/>
      </x:patternFill>
    </x:fill>
    <x:fill>
      <x:patternFill patternType="solid">
        <x:fgColor rgb="00234D64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hair">
        <x:color rgb="00D8E6E4"/>
      </x:bottom>
    </x:border>
  </x:borders>
  <x:cellStyleXfs count="1">
    <x:xf numFmtId="0" fontId="0" fillId="0" borderId="0"/>
  </x:cellStyleXfs>
  <x:cellXfs count="13">
    <x:xf numFmtId="0" fontId="0" fillId="0" borderId="0" pivotButton="0" quotePrefix="0" xfId="0"/>
    <x:xf numFmtId="0" fontId="2" fillId="2" borderId="0" applyAlignment="1" pivotButton="0" quotePrefix="0" xfId="0">
      <x:alignment vertical="center"/>
    </x:xf>
    <x:xf numFmtId="0" fontId="1" fillId="0" borderId="0" applyAlignment="1" pivotButton="0" quotePrefix="0" xfId="0">
      <x:alignment vertical="center"/>
    </x:xf>
    <x:xf numFmtId="0" fontId="1" fillId="0" borderId="0" applyAlignment="1" pivotButton="0" quotePrefix="0" xfId="0">
      <x:alignment vertical="center" wrapText="1"/>
    </x:xf>
    <x:xf numFmtId="0" fontId="3" fillId="3" borderId="0" applyAlignment="1" pivotButton="0" quotePrefix="0" xfId="0">
      <x:alignment vertical="center"/>
    </x:xf>
    <x:xf numFmtId="0" fontId="4" fillId="0" borderId="1" applyAlignment="1" pivotButton="0" quotePrefix="0" xfId="0">
      <x:alignment vertical="center"/>
    </x:xf>
    <x:xf numFmtId="0" fontId="4" fillId="4" borderId="1" applyAlignment="1" pivotButton="0" quotePrefix="0" xfId="0">
      <x:alignment vertical="center"/>
    </x:xf>
    <x:xf numFmtId="165" fontId="4" fillId="4" borderId="1" applyAlignment="1" pivotButton="0" quotePrefix="0" xfId="0">
      <x:alignment vertical="center"/>
    </x:xf>
    <x:xf numFmtId="165" fontId="5" fillId="0" borderId="1" applyAlignment="1" pivotButton="0" quotePrefix="0" xfId="0">
      <x:alignment vertical="center"/>
    </x:xf>
    <x:xf numFmtId="166" fontId="4" fillId="0" borderId="1" applyAlignment="1" pivotButton="0" quotePrefix="0" xfId="0">
      <x:alignment vertical="center"/>
    </x:xf>
    <x:xf numFmtId="167" fontId="1" fillId="0" borderId="0" applyAlignment="1" pivotButton="0" quotePrefix="0" xfId="0">
      <x:alignment vertical="center"/>
    </x:xf>
    <x:xf numFmtId="167" fontId="6" fillId="0" borderId="0" applyAlignment="1" pivotButton="0" quotePrefix="0" xfId="0">
      <x:alignment vertical="center"/>
    </x:xf>
    <x:xf numFmtId="168" fontId="1" fillId="0" borderId="0" applyAlignment="1" pivotButton="0" quotePrefix="0" xfId="0">
      <x:alignment vertical="center"/>
    </x:xf>
  </x:cellXfs>
  <x:cellStyles count="1">
    <x:cellStyle name="Normal" xfId="0" builtinId="0" hidden="0"/>
  </x:cellStyles>
  <x:dxfs count="1">
    <x:dxf>
      <x:fill>
        <x:patternFill patternType="solid">
          <x:fgColor rgb="00D7EFE2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合成商品采购金额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'销售明细'!E3</f>
            </strRef>
          </tx>
          <spPr>
            <a:ln>
              <a:prstDash val="solid"/>
            </a:ln>
          </spPr>
          <cat>
            <numRef>
              <f>'销售明细'!$B$4:$B$9</f>
            </numRef>
          </cat>
          <val>
            <numRef>
              <f>'销售明细'!$E$4:$E$9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Fixture</author>
  </authors>
  <commentList>
    <comment ref="B4" authorId="0" shapeId="0">
      <text>
        <t>合成商品名称。可将本格改为“晨光钢笔（已修改）”测试文本写回。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</row>
      <rowOff>0</rowOff>
    </from>
    <ext cx="1905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yntheticSales" displayName="SyntheticSales" ref="A3:H9" headerRowCount="1">
  <autoFilter ref="A3:H9"/>
  <tableColumns count="8">
    <tableColumn id="1" name="编号"/>
    <tableColumn id="2" name="商品"/>
    <tableColumn id="3" name="数量"/>
    <tableColumn id="4" name="单价（元）"/>
    <tableColumn id="5" name="金额（元）"/>
    <tableColumn id="6" name="日期"/>
    <tableColumn id="7" name="状态"/>
    <tableColumn id="8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ynthetic-order/001" TargetMode="External" Id="rId1" /><Relationship Type="http://schemas.openxmlformats.org/officeDocument/2006/relationships/drawing" Target="/xl/drawings/drawing1.xml" Id="rId2" /><Relationship Type="http://schemas.openxmlformats.org/officeDocument/2006/relationships/table" Target="/xl/tables/table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H10"/>
  <x:sheetViews>
    <x:sheetView showGridLines="0" workbookViewId="0">
      <x:pane xSplit="2" ySplit="3" topLeftCell="C4" activePane="bottomRight" state="frozen"/>
      <x:selection pane="topRight"/>
      <x:selection pane="bottomLeft"/>
      <x:selection pane="bottomRight" activeCell="A1" sqref="A1"/>
    </x:sheetView>
  </x:sheetViews>
  <x:sheetFormatPr baseColWidth="8" defaultRowHeight="15"/>
  <x:cols>
    <x:col width="14" customWidth="1" min="1" max="1"/>
    <x:col width="24" customWidth="1" min="2" max="2"/>
    <x:col width="17" customWidth="1" min="3" max="3"/>
    <x:col width="17" customWidth="1" min="4" max="4"/>
    <x:col width="17" customWidth="1" min="5" max="5"/>
    <x:col width="17" customWidth="1" min="6" max="6"/>
    <x:col width="17" customWidth="1" min="7" max="7"/>
    <x:col width="42" customWidth="1" min="8" max="8"/>
  </x:cols>
  <x:sheetData>
    <x:row r="1" ht="32" customHeight="1">
      <x:c r="A1" s="1" t="inlineStr">
        <x:is>
          <x:t>秋季文具采购 · 合成测试工作簿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ht="34" customHeight="1">
      <x:c r="A2" s="3" t="inlineStr">
        <x:is>
          <x:t>所有名称、数量、单价及日期均为插件验收合成数据，不代表真实业务。 蓝色文字为输入；金额和汇总为公式。</x:t>
        </x:is>
      </x:c>
      <x:c r="B2" s="2" t="n"/>
      <x:c r="C2" s="2" t="n"/>
      <x:c r="D2" s="2" t="n"/>
      <x:c r="E2" s="2" t="n"/>
      <x:c r="F2" s="2" t="n"/>
      <x:c r="G2" s="2" t="n"/>
      <x:c r="H2" s="2" t="n"/>
    </x:row>
    <x:row r="3">
      <x:c r="A3" s="4" t="inlineStr">
        <x:is>
          <x:t>编号</x:t>
        </x:is>
      </x:c>
      <x:c r="B3" s="4" t="inlineStr">
        <x:is>
          <x:t>商品</x:t>
        </x:is>
      </x:c>
      <x:c r="C3" s="4" t="inlineStr">
        <x:is>
          <x:t>数量</x:t>
        </x:is>
      </x:c>
      <x:c r="D3" s="4" t="inlineStr">
        <x:is>
          <x:t>单价（元）</x:t>
        </x:is>
      </x:c>
      <x:c r="E3" s="4" t="inlineStr">
        <x:is>
          <x:t>金额（元）</x:t>
        </x:is>
      </x:c>
      <x:c r="F3" s="4" t="inlineStr">
        <x:is>
          <x:t>日期</x:t>
        </x:is>
      </x:c>
      <x:c r="G3" s="4" t="inlineStr">
        <x:is>
          <x:t>状态</x:t>
        </x:is>
      </x:c>
      <x:c r="H3" s="4" t="inlineStr">
        <x:is>
          <x:t>备注</x:t>
        </x:is>
      </x:c>
    </x:row>
    <x:row r="4">
      <x:c r="A4" s="5" t="inlineStr">
        <x:is>
          <x:t>SYN-001</x:t>
        </x:is>
      </x:c>
      <x:c r="B4" s="5" t="inlineStr">
        <x:is>
          <x:t>晨光钢笔</x:t>
        </x:is>
      </x:c>
      <x:c r="C4" s="6" t="n">
        <x:v>2</x:v>
      </x:c>
      <x:c r="D4" s="7" t="n">
        <x:v>129</x:v>
      </x:c>
      <x:c r="E4" s="8">
        <x:f>C4*D4</x:f>
        <x:v>258</x:v>
      </x:c>
      <x:c r="F4" s="9" t="n">
        <x:v>46309</x:v>
      </x:c>
      <x:c r="G4" s="5" t="inlineStr">
        <x:is>
          <x:t>已确认</x:t>
        </x:is>
      </x:c>
      <x:c r="H4" s="5" t="inlineStr">
        <x:is>
          <x:t>文字与数字编辑</x:t>
        </x:is>
      </x:c>
    </x:row>
    <x:row r="5">
      <x:c r="A5" s="5" t="inlineStr">
        <x:is>
          <x:t>SYN-002</x:t>
        </x:is>
      </x:c>
      <x:c r="B5" s="5" t="inlineStr">
        <x:is>
          <x:t>方格笔记本</x:t>
        </x:is>
      </x:c>
      <x:c r="C5" s="6" t="n">
        <x:v>5</x:v>
      </x:c>
      <x:c r="D5" s="7" t="n">
        <x:v>49.5</x:v>
      </x:c>
      <x:c r="E5" s="8">
        <x:f>C5*D5</x:f>
        <x:v>247.5</x:v>
      </x:c>
      <x:c r="F5" s="9" t="n">
        <x:v>46310</x:v>
      </x:c>
      <x:c r="G5" s="5" t="inlineStr">
        <x:is>
          <x:t>待发货</x:t>
        </x:is>
      </x:c>
      <x:c r="H5" s="5" t="inlineStr">
        <x:is>
          <x:t>Unicode：中文 / café / 😀</x:t>
        </x:is>
      </x:c>
    </x:row>
    <x:row r="6">
      <x:c r="A6" s="5" t="inlineStr">
        <x:is>
          <x:t>SYN-003</x:t>
        </x:is>
      </x:c>
      <x:c r="B6" s="5" t="inlineStr">
        <x:is>
          <x:t>桌面收纳盒</x:t>
        </x:is>
      </x:c>
      <x:c r="C6" s="6" t="n">
        <x:v>3</x:v>
      </x:c>
      <x:c r="D6" s="7" t="n">
        <x:v>75</x:v>
      </x:c>
      <x:c r="E6" s="8">
        <x:f>C6*D6</x:f>
        <x:v>225</x:v>
      </x:c>
      <x:c r="F6" s="9" t="n">
        <x:v>46311</x:v>
      </x:c>
      <x:c r="G6" s="5" t="inlineStr">
        <x:is>
          <x:t>已确认</x:t>
        </x:is>
      </x:c>
      <x:c r="H6" s="5" t="inlineStr">
        <x:is>
          <x:t>含跨表汇总</x:t>
        </x:is>
      </x:c>
    </x:row>
    <x:row r="7">
      <x:c r="A7" s="5" t="inlineStr">
        <x:is>
          <x:t>SYN-004</x:t>
        </x:is>
      </x:c>
      <x:c r="B7" s="5" t="inlineStr">
        <x:is>
          <x:t>便签纸</x:t>
        </x:is>
      </x:c>
      <x:c r="C7" s="6" t="n">
        <x:v>4</x:v>
      </x:c>
      <x:c r="D7" s="7" t="n">
        <x:v>28</x:v>
      </x:c>
      <x:c r="E7" s="8">
        <x:f>C7*D7</x:f>
        <x:v>112</x:v>
      </x:c>
      <x:c r="F7" s="9" t="n">
        <x:v>46312</x:v>
      </x:c>
      <x:c r="G7" s="5" t="inlineStr">
        <x:is>
          <x:t>待发货</x:t>
        </x:is>
      </x:c>
      <x:c r="H7" s="5" t="inlineStr">
        <x:is>
          <x:t>合成测试数据</x:t>
        </x:is>
      </x:c>
    </x:row>
    <x:row r="8">
      <x:c r="A8" s="5" t="inlineStr">
        <x:is>
          <x:t>SYN-005</x:t>
        </x:is>
      </x:c>
      <x:c r="B8" s="5" t="inlineStr">
        <x:is>
          <x:t>阅读台灯</x:t>
        </x:is>
      </x:c>
      <x:c r="C8" s="6" t="n">
        <x:v>1</x:v>
      </x:c>
      <x:c r="D8" s="7" t="n">
        <x:v>299</x:v>
      </x:c>
      <x:c r="E8" s="8">
        <x:f>C8*D8</x:f>
        <x:v>299</x:v>
      </x:c>
      <x:c r="F8" s="9" t="n">
        <x:v>46313</x:v>
      </x:c>
      <x:c r="G8" s="5" t="inlineStr">
        <x:is>
          <x:t>已确认</x:t>
        </x:is>
      </x:c>
      <x:c r="H8" s="5" t="inlineStr">
        <x:is>
          <x:t>合成测试数据</x:t>
        </x:is>
      </x:c>
    </x:row>
    <x:row r="9">
      <x:c r="A9" s="5" t="inlineStr">
        <x:is>
          <x:t>SYN-006</x:t>
        </x:is>
      </x:c>
      <x:c r="B9" s="5" t="inlineStr">
        <x:is>
          <x:t>彩色胶带</x:t>
        </x:is>
      </x:c>
      <x:c r="C9" s="6" t="n">
        <x:v>6</x:v>
      </x:c>
      <x:c r="D9" s="7" t="n">
        <x:v>19.9</x:v>
      </x:c>
      <x:c r="E9" s="8">
        <x:f>C9*D9</x:f>
        <x:v>119.4</x:v>
      </x:c>
      <x:c r="F9" s="9" t="n">
        <x:v>46314</x:v>
      </x:c>
      <x:c r="G9" s="5" t="inlineStr">
        <x:is>
          <x:t>已确认</x:t>
        </x:is>
      </x:c>
      <x:c r="H9" s="5" t="inlineStr">
        <x:is>
          <x:t>合成测试数据</x:t>
        </x:is>
      </x:c>
    </x:row>
    <x:row r="10">
      <x:c r="A10" s="2" t="n"/>
      <x:c r="B10" s="2" t="inlineStr">
        <x:is>
          <x:t>合计</x:t>
        </x:is>
      </x:c>
      <x:c r="C10" s="2">
        <x:f>SUM(C4:C9)</x:f>
        <x:v>21</x:v>
      </x:c>
      <x:c r="D10" s="2" t="n"/>
      <x:c r="E10" s="10">
        <x:f>SUM(E4:E9)</x:f>
        <x:v>1260.9</x:v>
      </x:c>
      <x:c r="F10" s="2" t="n"/>
      <x:c r="G10" s="2" t="n"/>
      <x:c r="H10" s="2" t="n"/>
    </x:row>
  </x:sheetData>
  <x:mergeCells count="2">
    <x:mergeCell ref="A2:H2"/>
    <x:mergeCell ref="A1:H1"/>
  </x:mergeCells>
  <x:conditionalFormatting sqref="E4:E9">
    <x:cfRule type="cellIs" priority="1" operator="greaterThan" dxfId="0">
      <x:formula>200</x:formula>
    </x:cfRule>
  </x:conditionalFormatting>
  <x:dataValidations count="2">
    <x:dataValidation sqref="C4:C9" showDropDown="0" showInputMessage="0" showErrorMessage="1" allowBlank="0" errorTitle="数量无效" error="请输入 0 到 10000 的整数。" type="whole" operator="between">
      <x:formula1>0</x:formula1>
      <x:formula2>10000</x:formula2>
    </x:dataValidation>
    <x:dataValidation sqref="G4:G9" showDropDown="0" showInputMessage="0" showErrorMessage="0" allowBlank="0" type="list">
      <x:formula1>"已确认,待发货"</x:formula1>
    </x:dataValidation>
  </x:dataValidations>
  <x:hyperlinks>
    <x:hyperlink xmlns:r="http://schemas.openxmlformats.org/officeDocument/2006/relationships" ref="H4" r:id="rId1"/>
  </x:hyperlinks>
  <x:pageMargins left="0.75" right="0.75" top="1" bottom="1" header="0.5" footer="0.5"/>
  <x:drawing xmlns:r="http://schemas.openxmlformats.org/officeDocument/2006/relationships" r:id="rId2"/>
  <x:legacyDrawing xmlns:r="http://schemas.openxmlformats.org/officeDocument/2006/relationships" r:id="anysvml"/>
  <x:tableParts count="1">
    <x:tablePart xmlns:r="http://schemas.openxmlformats.org/officeDocument/2006/relationships" r:id="rId3"/>
  </x:tableParts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B7"/>
  <x:sheetViews>
    <x:sheetView showGridLines="0" workbookViewId="0">
      <x:selection activeCell="A1" sqref="A1"/>
    </x:sheetView>
  </x:sheetViews>
  <x:sheetFormatPr baseColWidth="8" defaultRowHeight="15"/>
  <x:cols>
    <x:col width="24" customWidth="1" min="1" max="1"/>
    <x:col width="70" customWidth="1" min="2" max="2"/>
  </x:cols>
  <x:sheetData>
    <x:row r="1">
      <x:c r="A1" s="2" t="inlineStr">
        <x:is>
          <x:t>采购汇总</x:t>
        </x:is>
      </x:c>
      <x:c r="B1" s="2" t="inlineStr">
        <x:is>
          <x:t>金额 / 数量</x:t>
        </x:is>
      </x:c>
    </x:row>
    <x:row r="2">
      <x:c r="A2" s="2" t="inlineStr">
        <x:is>
          <x:t>说明</x:t>
        </x:is>
      </x:c>
      <x:c r="B2" s="2" t="inlineStr">
        <x:is>
          <x:t>所有名称、数量、单价及日期均为插件验收合成数据，不代表真实业务。</x:t>
        </x:is>
      </x:c>
    </x:row>
    <x:row r="3">
      <x:c r="A3" s="2" t="inlineStr">
        <x:is>
          <x:t>公式说明</x:t>
        </x:is>
      </x:c>
      <x:c r="B3" s="2" t="inlineStr">
        <x:is>
          <x:t>按明细合计与参数页折扣率计算</x:t>
        </x:is>
      </x:c>
    </x:row>
    <x:row r="4">
      <x:c r="A4" s="2" t="inlineStr">
        <x:is>
          <x:t>原始总额</x:t>
        </x:is>
      </x:c>
      <x:c r="B4" s="11">
        <x:f>'销售明细'!E10</x:f>
        <x:v>1260.9</x:v>
      </x:c>
    </x:row>
    <x:row r="5">
      <x:c r="A5" s="2" t="inlineStr">
        <x:is>
          <x:t>折扣额</x:t>
        </x:is>
      </x:c>
      <x:c r="B5" s="11">
        <x:f>B4*'参数'!B2</x:f>
        <x:v>126.09</x:v>
      </x:c>
    </x:row>
    <x:row r="6">
      <x:c r="A6" s="2" t="inlineStr">
        <x:is>
          <x:t>折后总额</x:t>
        </x:is>
      </x:c>
      <x:c r="B6" s="11">
        <x:f>B4-B5</x:f>
        <x:v>1134.81</x:v>
      </x:c>
    </x:row>
    <x:row r="7">
      <x:c r="A7" s="2" t="inlineStr">
        <x:is>
          <x:t>总数量</x:t>
        </x:is>
      </x:c>
      <x:c r="B7" s="2">
        <x:f>'销售明细'!C10</x:f>
        <x:v>21</x:v>
      </x:c>
    </x:row>
  </x:sheetData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outlinePr summaryBelow="1" summaryRight="1"/>
    <x:pageSetUpPr/>
  </x:sheetPr>
  <x:dimension ref="A1:C2"/>
  <x:sheetViews>
    <x:sheetView showGridLines="0" workbookViewId="0">
      <x:selection activeCell="A1" sqref="A1"/>
    </x:sheetView>
  </x:sheetViews>
  <x:sheetFormatPr baseColWidth="8" defaultRowHeight="15"/>
  <x:sheetData>
    <x:row r="1">
      <x:c r="A1" s="2" t="inlineStr">
        <x:is>
          <x:t>参数</x:t>
        </x:is>
      </x:c>
      <x:c r="B1" s="2" t="inlineStr">
        <x:is>
          <x:t>值</x:t>
        </x:is>
      </x:c>
      <x:c r="C1" s="2" t="inlineStr">
        <x:is>
          <x:t>来源</x:t>
        </x:is>
      </x:c>
    </x:row>
    <x:row r="2">
      <x:c r="A2" s="2" t="inlineStr">
        <x:is>
          <x:t>合成折扣率</x:t>
        </x:is>
      </x:c>
      <x:c r="B2" s="12" t="n">
        <x:v>0.1</x:v>
      </x:c>
      <x:c r="C2" s="2" t="inlineStr">
        <x:is>
          <x:t>所有名称、数量、单价及日期均为插件验收合成数据，不代表真实业务。</x:t>
        </x:is>
      </x:c>
    </x:row>
  </x:sheetData>
  <x:pageMargins left="0.75" right="0.75" top="1" bottom="1" header="0.5" footer="0.5"/>
</x:worksheet>
</file>

<file path=customXml/fixture-preservation.xml><?xml version="1.0" encoding="utf-8"?>
<fixture xmlns="urn:lexora:xlsx:test">保留未知部件：合成测试数据</fix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